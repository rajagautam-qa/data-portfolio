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520" windowWidth="13120" windowHeight="3740" activeTab="1"/>
  </bookViews>
  <sheets>
    <sheet name="Messy Raw Data" sheetId="1" r:id="rId1"/>
    <sheet name="Cleaned Data" sheetId="2" r:id="rId2"/>
  </sheets>
  <calcPr calcId="124519"/>
</workbook>
</file>

<file path=xl/calcChain.xml><?xml version="1.0" encoding="utf-8"?>
<calcChain xmlns="http://schemas.openxmlformats.org/spreadsheetml/2006/main">
  <c r="G30" i="2"/>
  <c r="I30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2"/>
  <c r="D7"/>
  <c r="D15"/>
  <c r="D17"/>
  <c r="I10" i="1"/>
</calcChain>
</file>

<file path=xl/sharedStrings.xml><?xml version="1.0" encoding="utf-8"?>
<sst xmlns="http://schemas.openxmlformats.org/spreadsheetml/2006/main" count="254" uniqueCount="98">
  <si>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</si>
  <si>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</si>
  <si>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</si>
  <si>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</si>
  <si>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</si>
  <si>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</si>
  <si>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</si>
  <si>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</si>
  <si>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John Smith</t>
  </si>
  <si>
    <t>North</t>
  </si>
  <si>
    <t>Good</t>
  </si>
  <si>
    <t>Magic Wand</t>
  </si>
  <si>
    <t>Jane Doe</t>
  </si>
  <si>
    <t>East</t>
  </si>
  <si>
    <t>Excellent</t>
  </si>
  <si>
    <t>Unicorn Horn</t>
  </si>
  <si>
    <t>Mike Tyson</t>
  </si>
  <si>
    <t>West</t>
  </si>
  <si>
    <t>Poor</t>
  </si>
  <si>
    <t>Boxing Gloves</t>
  </si>
  <si>
    <t>0 inf</t>
  </si>
  <si>
    <t>Anna Belle</t>
  </si>
  <si>
    <t>South</t>
  </si>
  <si>
    <t>Average</t>
  </si>
  <si>
    <t>Fairy Dust</t>
  </si>
  <si>
    <t>Chris P. Bacon</t>
  </si>
  <si>
    <t>Bacon Scented Candle</t>
  </si>
  <si>
    <t>Peter Parker</t>
  </si>
  <si>
    <t>Excelent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</si>
  <si>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</si>
  <si>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</si>
  <si>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</si>
  <si>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</si>
  <si>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</si>
  <si>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</si>
  <si>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</si>
  <si>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</si>
  <si>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</si>
  <si>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</si>
  <si>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</si>
  <si>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</si>
  <si>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</si>
  <si>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</si>
  <si>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</si>
  <si>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</si>
  <si>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</si>
  <si>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</si>
  <si>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</si>
  <si>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</si>
  <si>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</si>
  <si>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</si>
  <si>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</si>
  <si>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</si>
  <si>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</si>
  <si>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</si>
  <si>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</si>
  <si>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</si>
  <si>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</si>
  <si>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</si>
  <si>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</si>
  <si>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</si>
  <si>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</si>
  <si>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</si>
  <si>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</si>
  <si>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</si>
  <si>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</si>
  <si>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</si>
  <si>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</si>
  <si>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</si>
  <si>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</si>
  <si>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</si>
  <si>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</si>
  <si>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</si>
  <si>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</si>
  <si>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</si>
  <si>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</si>
  <si>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</si>
  <si>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 xml:space="preserve">John Smith   </t>
  </si>
  <si>
    <t>CLARK KENT</t>
  </si>
  <si>
    <t>diana prince</t>
  </si>
  <si>
    <t xml:space="preserve">       Phil     Coulson</t>
  </si>
  <si>
    <t>roger stern</t>
  </si>
  <si>
    <t>loki Laufeyson</t>
  </si>
  <si>
    <t xml:space="preserve">      Thor     Odinson</t>
  </si>
  <si>
    <t>Jane doe</t>
  </si>
  <si>
    <t xml:space="preserve">    Steve    Rogers  </t>
  </si>
  <si>
    <t>natasha     romanoff</t>
  </si>
  <si>
    <t>BRUCE BANNER</t>
  </si>
  <si>
    <t>Mike tyson</t>
  </si>
  <si>
    <t>Mary          Jane</t>
  </si>
  <si>
    <t>Bruce     wayne</t>
  </si>
  <si>
    <t>Howard             Stark</t>
  </si>
  <si>
    <t>Janet Van Dyne</t>
  </si>
  <si>
    <t>Tom Defalco</t>
  </si>
  <si>
    <t>Agar</t>
  </si>
  <si>
    <t>Moline</t>
  </si>
  <si>
    <t>Sales</t>
  </si>
  <si>
    <t>Total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</si>
</sst>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3" borderId="0" xfId="0" applyFont="1" applyFill="1" applyAlignment="1">
      <alignment horizontal="left" vertical="center"/>
    </xf>
    <xf numFmtId="165" fontId="0" fillId="0" borderId="0" xfId="0" applyNumberFormat="1"/>
    <xf numFmtId="165" fontId="2" fillId="3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vertical="center" wrapText="1"/>
    </xf>
    <xf numFmtId="164" fontId="0" fillId="0" borderId="0" xfId="0" applyNumberFormat="1" applyAlignment="1">
      <alignment vertical="center"/>
    </xf>
    <xf numFmtId="3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3" formatCode="#,##0"/>
    </dxf>
    <dxf>
      <numFmt numFmtId="3" formatCode="#,##0"/>
    </dxf>
    <dxf>
      <numFmt numFmtId="3" formatCode="#,##0"/>
    </dxf>
    <dxf>
      <alignment horizontal="center" vertical="top" textRotation="0" wrapText="0" indent="0" relativeIndent="0" justifyLastLine="0" shrinkToFit="0" mergeCell="0" readingOrder="0"/>
    </dxf>
    <dxf>
      <alignment horizontal="center" vertical="top" textRotation="0" wrapText="0" indent="0" relativeIndent="0" justifyLastLine="0" shrinkToFit="0" mergeCell="0" readingOrder="0"/>
    </dxf>
    <dxf>
      <alignment horizontal="right" vertical="center" textRotation="0" wrapText="0" indent="0" relativeIndent="0" justifyLastLine="0" shrinkToFit="0" mergeCell="0" readingOrder="0"/>
    </dxf>
    <dxf>
      <numFmt numFmtId="19" formatCode="m/d/yyyy"/>
      <alignment horizontal="right" vertical="center" textRotation="0" wrapText="0" indent="0" relativeIndent="0" justifyLastLine="0" shrinkToFit="0" mergeCell="0" readingOrder="0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I30" totalsRowCount="1" headerRowDxfId="9" headerRowBorderDxfId="8" tableBorderDxfId="7">
  <autoFilter ref="A1:I29"/>
  <tableColumns count="9">
    <tableColumn id="1" name="Date" totalsRowLabel="Total" dataDxfId="6" totalsRowDxfId="5"/>
    <tableColumn id="2" name="ID" dataDxfId="4" totalsRowDxfId="3"/>
    <tableColumn id="3" name="Name"/>
    <tableColumn id="4" name="Region"/>
    <tableColumn id="5" name="Rating"/>
    <tableColumn id="6" name="Product"/>
    <tableColumn id="7" name="Quantity" totalsRowFunction="sum"/>
    <tableColumn id="8" name="Price Per Unit" dataDxfId="2" totalsRowDxfId="1"/>
    <tableColumn id="9" name="Sales" totalsRowFunction="sum" dataDxfId="0">
      <calculatedColumnFormula>G2*H2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selection activeCell="C12" sqref="C12"/>
    </sheetView>
  </sheetViews>
  <sheetFormatPr defaultRowHeight="14.5"/>
  <cols>
    <col min="1" max="1" width="28" style="8" bestFit="1" customWidth="1"/>
    <col min="2" max="2" width="12" customWidth="1"/>
    <col min="3" max="3" width="20" customWidth="1"/>
    <col min="4" max="4" width="12" customWidth="1"/>
    <col min="5" max="5" width="13" customWidth="1"/>
    <col min="6" max="6" width="29" customWidth="1"/>
    <col min="7" max="7" width="12" customWidth="1"/>
    <col min="8" max="8" width="18" style="5" customWidth="1"/>
    <col min="9" max="9" width="10.6328125" customWidth="1"/>
  </cols>
  <sheetData>
    <row r="1" spans="1:9" s="4" customFormat="1" ht="15" thickBot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</row>
    <row r="2" spans="1:9">
      <c r="A2" s="8">
        <v>44227</v>
      </c>
      <c r="B2">
        <v>1</v>
      </c>
      <c r="C2" t="s">
        <v>77</v>
      </c>
      <c r="D2" t="s">
        <v>9</v>
      </c>
      <c r="E2" t="s">
        <v>10</v>
      </c>
      <c r="F2" t="s">
        <v>11</v>
      </c>
      <c r="G2">
        <v>10</v>
      </c>
      <c r="H2" s="5">
        <v>20</v>
      </c>
    </row>
    <row r="3" spans="1:9">
      <c r="A3" s="8">
        <v>44255</v>
      </c>
      <c r="B3">
        <v>2</v>
      </c>
      <c r="C3" t="s">
        <v>84</v>
      </c>
      <c r="D3" t="s">
        <v>13</v>
      </c>
      <c r="E3" t="s">
        <v>14</v>
      </c>
      <c r="F3" t="s">
        <v>15</v>
      </c>
      <c r="G3">
        <v>15</v>
      </c>
      <c r="H3" s="5">
        <v>10</v>
      </c>
    </row>
    <row r="4" spans="1:9">
      <c r="A4" s="8">
        <v>44286</v>
      </c>
      <c r="B4">
        <v>3</v>
      </c>
      <c r="C4" t="s">
        <v>88</v>
      </c>
      <c r="D4" t="s">
        <v>17</v>
      </c>
      <c r="E4" t="s">
        <v>18</v>
      </c>
      <c r="F4" t="s">
        <v>19</v>
      </c>
      <c r="G4">
        <v>0</v>
      </c>
      <c r="H4" s="5" t="s">
        <v>20</v>
      </c>
    </row>
    <row r="5" spans="1:9">
      <c r="A5" s="8">
        <v>44316</v>
      </c>
      <c r="B5">
        <v>4</v>
      </c>
      <c r="C5" t="s">
        <v>21</v>
      </c>
      <c r="D5" t="s">
        <v>22</v>
      </c>
      <c r="E5" t="s">
        <v>23</v>
      </c>
      <c r="F5" t="s">
        <v>24</v>
      </c>
      <c r="G5">
        <v>25</v>
      </c>
      <c r="H5" s="5">
        <v>10</v>
      </c>
    </row>
    <row r="6" spans="1:9">
      <c r="A6" s="8">
        <v>44347</v>
      </c>
      <c r="B6">
        <v>5</v>
      </c>
      <c r="C6" t="s">
        <v>25</v>
      </c>
      <c r="D6" t="s">
        <v>13</v>
      </c>
      <c r="E6" t="s">
        <v>10</v>
      </c>
      <c r="F6" t="s">
        <v>26</v>
      </c>
      <c r="G6">
        <v>30</v>
      </c>
      <c r="H6" s="5">
        <v>16.670000000000002</v>
      </c>
    </row>
    <row r="7" spans="1:9">
      <c r="A7" s="8">
        <v>44377</v>
      </c>
      <c r="B7">
        <v>6</v>
      </c>
      <c r="C7" t="s">
        <v>27</v>
      </c>
      <c r="E7" t="s">
        <v>28</v>
      </c>
      <c r="F7" t="s">
        <v>29</v>
      </c>
      <c r="G7">
        <v>0</v>
      </c>
      <c r="H7" s="5" t="s">
        <v>20</v>
      </c>
    </row>
    <row r="8" spans="1:9">
      <c r="A8" s="8">
        <v>44408</v>
      </c>
      <c r="B8">
        <v>7</v>
      </c>
      <c r="C8" t="s">
        <v>89</v>
      </c>
      <c r="D8" t="s">
        <v>17</v>
      </c>
      <c r="E8" t="s">
        <v>18</v>
      </c>
      <c r="F8" t="s">
        <v>31</v>
      </c>
      <c r="G8">
        <v>35</v>
      </c>
      <c r="H8" s="5">
        <v>10</v>
      </c>
    </row>
    <row r="9" spans="1:9">
      <c r="A9" s="8">
        <v>44439</v>
      </c>
      <c r="B9">
        <v>8</v>
      </c>
      <c r="C9" t="s">
        <v>90</v>
      </c>
      <c r="D9" t="s">
        <v>22</v>
      </c>
      <c r="E9" t="s">
        <v>23</v>
      </c>
      <c r="F9" t="s">
        <v>33</v>
      </c>
      <c r="G9">
        <v>40</v>
      </c>
      <c r="H9" s="5">
        <v>15</v>
      </c>
    </row>
    <row r="10" spans="1:9">
      <c r="A10" s="8">
        <v>44469</v>
      </c>
      <c r="B10">
        <v>9</v>
      </c>
      <c r="C10" t="s">
        <v>78</v>
      </c>
      <c r="D10" t="s">
        <v>13</v>
      </c>
      <c r="E10" t="s">
        <v>10</v>
      </c>
      <c r="F10" t="s">
        <v>35</v>
      </c>
      <c r="G10">
        <v>45</v>
      </c>
      <c r="H10" s="5">
        <v>12.22</v>
      </c>
      <c r="I10" t="str">
        <f>UPPER(I13)</f>
        <v/>
      </c>
    </row>
    <row r="11" spans="1:9">
      <c r="A11" s="8">
        <v>44500</v>
      </c>
      <c r="B11">
        <v>10</v>
      </c>
      <c r="C11" t="s">
        <v>79</v>
      </c>
      <c r="D11" t="s">
        <v>9</v>
      </c>
      <c r="E11" t="s">
        <v>28</v>
      </c>
      <c r="F11" t="s">
        <v>37</v>
      </c>
      <c r="G11">
        <v>50</v>
      </c>
      <c r="H11" s="5">
        <v>14</v>
      </c>
    </row>
    <row r="12" spans="1:9">
      <c r="A12" s="8">
        <v>44530</v>
      </c>
      <c r="B12">
        <v>11</v>
      </c>
      <c r="C12" t="s">
        <v>38</v>
      </c>
      <c r="D12" t="s">
        <v>17</v>
      </c>
      <c r="E12" t="s">
        <v>18</v>
      </c>
      <c r="F12" t="s">
        <v>39</v>
      </c>
      <c r="G12">
        <v>5</v>
      </c>
      <c r="H12" s="5">
        <v>160</v>
      </c>
    </row>
    <row r="13" spans="1:9">
      <c r="A13" s="8">
        <v>44561</v>
      </c>
      <c r="B13">
        <v>12</v>
      </c>
      <c r="C13" t="s">
        <v>85</v>
      </c>
      <c r="D13" t="s">
        <v>22</v>
      </c>
      <c r="E13" t="s">
        <v>23</v>
      </c>
      <c r="F13" t="s">
        <v>41</v>
      </c>
      <c r="G13">
        <v>20</v>
      </c>
      <c r="H13" s="5">
        <v>45</v>
      </c>
    </row>
    <row r="14" spans="1:9">
      <c r="A14" s="8">
        <v>44592</v>
      </c>
      <c r="B14">
        <v>13</v>
      </c>
      <c r="C14" t="s">
        <v>86</v>
      </c>
      <c r="D14" t="s">
        <v>13</v>
      </c>
      <c r="E14" t="s">
        <v>10</v>
      </c>
      <c r="F14" t="s">
        <v>43</v>
      </c>
      <c r="G14">
        <v>0</v>
      </c>
      <c r="H14" s="5" t="s">
        <v>20</v>
      </c>
    </row>
    <row r="15" spans="1:9">
      <c r="A15" s="8">
        <v>44620</v>
      </c>
      <c r="B15">
        <v>14</v>
      </c>
      <c r="C15" t="s">
        <v>87</v>
      </c>
      <c r="E15" t="s">
        <v>28</v>
      </c>
      <c r="F15" t="s">
        <v>45</v>
      </c>
      <c r="G15">
        <v>30</v>
      </c>
      <c r="H15" s="5">
        <v>36.67</v>
      </c>
    </row>
    <row r="16" spans="1:9">
      <c r="A16" s="8">
        <v>44316</v>
      </c>
      <c r="B16">
        <v>4</v>
      </c>
      <c r="C16" t="s">
        <v>21</v>
      </c>
      <c r="D16" t="s">
        <v>22</v>
      </c>
      <c r="E16" t="s">
        <v>23</v>
      </c>
      <c r="F16" t="s">
        <v>24</v>
      </c>
      <c r="G16">
        <v>25</v>
      </c>
      <c r="H16" s="5">
        <v>10</v>
      </c>
    </row>
    <row r="17" spans="1:8">
      <c r="A17" s="8">
        <v>44347</v>
      </c>
      <c r="B17">
        <v>5</v>
      </c>
      <c r="C17" t="s">
        <v>25</v>
      </c>
      <c r="D17" t="s">
        <v>13</v>
      </c>
      <c r="E17" t="s">
        <v>10</v>
      </c>
      <c r="F17" t="s">
        <v>26</v>
      </c>
      <c r="G17">
        <v>30</v>
      </c>
      <c r="H17" s="5">
        <v>16.670000000000002</v>
      </c>
    </row>
    <row r="18" spans="1:8">
      <c r="A18" s="8">
        <v>44377</v>
      </c>
      <c r="B18">
        <v>6</v>
      </c>
      <c r="C18" t="s">
        <v>27</v>
      </c>
      <c r="E18" t="s">
        <v>28</v>
      </c>
      <c r="F18" t="s">
        <v>29</v>
      </c>
      <c r="G18">
        <v>0</v>
      </c>
      <c r="H18" s="5" t="s">
        <v>20</v>
      </c>
    </row>
    <row r="19" spans="1:8">
      <c r="A19" s="8">
        <v>44651</v>
      </c>
      <c r="B19">
        <v>15</v>
      </c>
      <c r="C19" t="s">
        <v>46</v>
      </c>
      <c r="D19" t="s">
        <v>17</v>
      </c>
      <c r="E19" t="s">
        <v>18</v>
      </c>
      <c r="F19" t="s">
        <v>47</v>
      </c>
      <c r="G19">
        <v>35</v>
      </c>
      <c r="H19" s="5">
        <v>34.29</v>
      </c>
    </row>
    <row r="20" spans="1:8">
      <c r="A20" s="8">
        <v>44681</v>
      </c>
      <c r="B20">
        <v>16</v>
      </c>
      <c r="C20" t="s">
        <v>80</v>
      </c>
      <c r="E20" t="s">
        <v>23</v>
      </c>
      <c r="F20" t="s">
        <v>49</v>
      </c>
      <c r="G20">
        <v>0</v>
      </c>
      <c r="H20" s="5" t="s">
        <v>20</v>
      </c>
    </row>
    <row r="21" spans="1:8">
      <c r="A21" s="8">
        <v>44712</v>
      </c>
      <c r="B21">
        <v>17</v>
      </c>
      <c r="C21" t="s">
        <v>50</v>
      </c>
      <c r="D21" t="s">
        <v>13</v>
      </c>
      <c r="E21" t="s">
        <v>10</v>
      </c>
      <c r="F21" t="s">
        <v>51</v>
      </c>
      <c r="G21">
        <v>40</v>
      </c>
      <c r="H21" s="5">
        <v>35</v>
      </c>
    </row>
    <row r="22" spans="1:8">
      <c r="A22" s="8">
        <v>44742</v>
      </c>
      <c r="B22">
        <v>18</v>
      </c>
      <c r="C22" t="s">
        <v>91</v>
      </c>
      <c r="D22" t="s">
        <v>9</v>
      </c>
      <c r="E22" t="s">
        <v>28</v>
      </c>
      <c r="F22" t="s">
        <v>53</v>
      </c>
      <c r="G22">
        <v>45</v>
      </c>
      <c r="H22" s="5">
        <v>33.33</v>
      </c>
    </row>
    <row r="23" spans="1:8">
      <c r="A23" s="8">
        <v>44773</v>
      </c>
      <c r="B23">
        <v>19</v>
      </c>
      <c r="C23" t="s">
        <v>54</v>
      </c>
      <c r="D23" t="s">
        <v>17</v>
      </c>
      <c r="E23" t="s">
        <v>18</v>
      </c>
      <c r="F23" t="s">
        <v>55</v>
      </c>
      <c r="G23">
        <v>50</v>
      </c>
      <c r="H23" s="5">
        <v>32</v>
      </c>
    </row>
    <row r="24" spans="1:8">
      <c r="A24" s="8">
        <v>44804</v>
      </c>
      <c r="B24">
        <v>20</v>
      </c>
      <c r="C24" t="s">
        <v>56</v>
      </c>
      <c r="D24" t="s">
        <v>22</v>
      </c>
      <c r="E24" t="s">
        <v>23</v>
      </c>
      <c r="F24" t="s">
        <v>57</v>
      </c>
      <c r="G24">
        <v>55</v>
      </c>
      <c r="H24" s="5">
        <v>30.91</v>
      </c>
    </row>
    <row r="25" spans="1:8">
      <c r="A25" s="8">
        <v>44834</v>
      </c>
      <c r="B25">
        <v>21</v>
      </c>
      <c r="C25" t="s">
        <v>58</v>
      </c>
      <c r="D25" t="s">
        <v>13</v>
      </c>
      <c r="E25" t="s">
        <v>10</v>
      </c>
      <c r="F25" t="s">
        <v>59</v>
      </c>
      <c r="G25">
        <v>60</v>
      </c>
      <c r="H25" s="5">
        <v>30</v>
      </c>
    </row>
    <row r="26" spans="1:8">
      <c r="A26" s="8">
        <v>44865</v>
      </c>
      <c r="B26">
        <v>22</v>
      </c>
      <c r="C26" t="s">
        <v>60</v>
      </c>
      <c r="D26" t="s">
        <v>9</v>
      </c>
      <c r="E26" t="s">
        <v>28</v>
      </c>
      <c r="F26" t="s">
        <v>61</v>
      </c>
      <c r="G26">
        <v>0</v>
      </c>
      <c r="H26" s="5" t="s">
        <v>20</v>
      </c>
    </row>
    <row r="27" spans="1:8">
      <c r="A27" s="8">
        <v>44895</v>
      </c>
      <c r="B27">
        <v>23</v>
      </c>
      <c r="C27" t="s">
        <v>81</v>
      </c>
      <c r="D27" t="s">
        <v>17</v>
      </c>
      <c r="E27" t="s">
        <v>18</v>
      </c>
      <c r="F27" t="s">
        <v>63</v>
      </c>
      <c r="G27">
        <v>65</v>
      </c>
      <c r="H27" s="5">
        <v>30.77</v>
      </c>
    </row>
    <row r="28" spans="1:8">
      <c r="A28" s="8">
        <v>44926</v>
      </c>
      <c r="B28">
        <v>24</v>
      </c>
      <c r="C28" t="s">
        <v>64</v>
      </c>
      <c r="D28" t="s">
        <v>22</v>
      </c>
      <c r="E28" t="s">
        <v>23</v>
      </c>
      <c r="F28" t="s">
        <v>65</v>
      </c>
      <c r="G28">
        <v>70</v>
      </c>
      <c r="H28" s="5">
        <v>30</v>
      </c>
    </row>
    <row r="29" spans="1:8">
      <c r="A29" s="8">
        <v>44957</v>
      </c>
      <c r="B29">
        <v>25</v>
      </c>
      <c r="C29" t="s">
        <v>82</v>
      </c>
      <c r="D29" t="s">
        <v>67</v>
      </c>
      <c r="E29" t="s">
        <v>68</v>
      </c>
      <c r="F29" t="s">
        <v>69</v>
      </c>
      <c r="G29">
        <v>75</v>
      </c>
      <c r="H29" s="5">
        <v>29.33</v>
      </c>
    </row>
    <row r="30" spans="1:8">
      <c r="A30" s="8">
        <v>44985</v>
      </c>
      <c r="B30">
        <v>26</v>
      </c>
      <c r="C30" t="s">
        <v>83</v>
      </c>
      <c r="D30" t="s">
        <v>67</v>
      </c>
      <c r="E30" t="s">
        <v>71</v>
      </c>
      <c r="F30" t="s">
        <v>72</v>
      </c>
      <c r="G30">
        <v>80</v>
      </c>
      <c r="H30" s="5">
        <v>28.75</v>
      </c>
    </row>
    <row r="31" spans="1:8">
      <c r="A31" s="8">
        <v>45016</v>
      </c>
      <c r="B31">
        <v>27</v>
      </c>
      <c r="C31" t="s">
        <v>42</v>
      </c>
      <c r="D31" t="s">
        <v>13</v>
      </c>
      <c r="E31" t="s">
        <v>73</v>
      </c>
      <c r="F31" t="s">
        <v>74</v>
      </c>
      <c r="G31">
        <v>0</v>
      </c>
      <c r="H31" s="5" t="s">
        <v>20</v>
      </c>
    </row>
    <row r="32" spans="1:8">
      <c r="A32" s="8">
        <v>45046</v>
      </c>
      <c r="B32">
        <v>28</v>
      </c>
      <c r="C32" t="s">
        <v>40</v>
      </c>
      <c r="D32" t="s">
        <v>22</v>
      </c>
      <c r="E32" t="s">
        <v>75</v>
      </c>
      <c r="F32" t="s">
        <v>76</v>
      </c>
      <c r="G32">
        <v>85</v>
      </c>
      <c r="H32" s="5">
        <v>29.41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H30" sqref="H30"/>
    </sheetView>
  </sheetViews>
  <sheetFormatPr defaultRowHeight="14.5"/>
  <cols>
    <col min="1" max="1" width="15" style="1" customWidth="1"/>
    <col min="2" max="2" width="12" style="10" customWidth="1"/>
    <col min="3" max="3" width="16.453125" bestFit="1" customWidth="1"/>
    <col min="4" max="5" width="12" customWidth="1"/>
    <col min="6" max="6" width="23.7265625" customWidth="1"/>
    <col min="7" max="7" width="12.81640625" customWidth="1"/>
    <col min="8" max="8" width="16.54296875" style="9" customWidth="1"/>
    <col min="9" max="9" width="10.453125" style="9" customWidth="1"/>
  </cols>
  <sheetData>
    <row r="1" spans="1:9" s="2" customFormat="1">
      <c r="A1" s="12" t="s">
        <v>0</v>
      </c>
      <c r="B1" s="13" t="s">
        <v>1</v>
      </c>
      <c r="C1" s="14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96</v>
      </c>
    </row>
    <row r="2" spans="1:9">
      <c r="A2" s="11">
        <v>44227</v>
      </c>
      <c r="B2" s="10">
        <v>1</v>
      </c>
      <c r="C2" t="s">
        <v>8</v>
      </c>
      <c r="D2" t="s">
        <v>9</v>
      </c>
      <c r="E2" t="s">
        <v>10</v>
      </c>
      <c r="F2" t="s">
        <v>11</v>
      </c>
      <c r="G2">
        <v>10</v>
      </c>
      <c r="H2" s="9">
        <v>20</v>
      </c>
      <c r="I2" s="9">
        <f>G2*H2</f>
        <v>200</v>
      </c>
    </row>
    <row r="3" spans="1:9">
      <c r="A3" s="11">
        <v>44255</v>
      </c>
      <c r="B3" s="10">
        <v>2</v>
      </c>
      <c r="C3" t="s">
        <v>12</v>
      </c>
      <c r="D3" t="s">
        <v>13</v>
      </c>
      <c r="E3" t="s">
        <v>14</v>
      </c>
      <c r="F3" t="s">
        <v>15</v>
      </c>
      <c r="G3">
        <v>15</v>
      </c>
      <c r="H3" s="9">
        <v>10</v>
      </c>
      <c r="I3" s="9">
        <f t="shared" ref="I3:I29" si="0">G3*H3</f>
        <v>150</v>
      </c>
    </row>
    <row r="4" spans="1:9">
      <c r="A4" s="11">
        <v>44286</v>
      </c>
      <c r="B4" s="10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 s="9">
        <v>0</v>
      </c>
      <c r="I4" s="9">
        <f t="shared" si="0"/>
        <v>0</v>
      </c>
    </row>
    <row r="5" spans="1:9">
      <c r="A5" s="11">
        <v>44316</v>
      </c>
      <c r="B5" s="10">
        <v>4</v>
      </c>
      <c r="C5" t="s">
        <v>21</v>
      </c>
      <c r="D5" t="s">
        <v>22</v>
      </c>
      <c r="E5" t="s">
        <v>23</v>
      </c>
      <c r="F5" t="s">
        <v>24</v>
      </c>
      <c r="G5">
        <v>25</v>
      </c>
      <c r="H5" s="9">
        <v>10</v>
      </c>
      <c r="I5" s="9">
        <f t="shared" si="0"/>
        <v>250</v>
      </c>
    </row>
    <row r="6" spans="1:9">
      <c r="A6" s="11">
        <v>44347</v>
      </c>
      <c r="B6" s="10">
        <v>5</v>
      </c>
      <c r="C6" t="s">
        <v>25</v>
      </c>
      <c r="D6" t="s">
        <v>13</v>
      </c>
      <c r="E6" t="s">
        <v>10</v>
      </c>
      <c r="F6" t="s">
        <v>26</v>
      </c>
      <c r="G6">
        <v>30</v>
      </c>
      <c r="H6" s="9">
        <v>16.670000000000002</v>
      </c>
      <c r="I6" s="9">
        <f t="shared" si="0"/>
        <v>500.1</v>
      </c>
    </row>
    <row r="7" spans="1:9">
      <c r="A7" s="11">
        <v>44377</v>
      </c>
      <c r="B7" s="10">
        <v>6</v>
      </c>
      <c r="C7" t="s">
        <v>27</v>
      </c>
      <c r="D7" t="str">
        <f>D6</f>
        <v>East</v>
      </c>
      <c r="E7" t="s">
        <v>14</v>
      </c>
      <c r="F7" t="s">
        <v>29</v>
      </c>
      <c r="G7">
        <v>0</v>
      </c>
      <c r="H7" s="9">
        <v>0</v>
      </c>
      <c r="I7" s="9">
        <f t="shared" si="0"/>
        <v>0</v>
      </c>
    </row>
    <row r="8" spans="1:9">
      <c r="A8" s="11">
        <v>44408</v>
      </c>
      <c r="B8" s="10">
        <v>7</v>
      </c>
      <c r="C8" t="s">
        <v>30</v>
      </c>
      <c r="D8" t="s">
        <v>17</v>
      </c>
      <c r="E8" t="s">
        <v>18</v>
      </c>
      <c r="F8" t="s">
        <v>31</v>
      </c>
      <c r="G8">
        <v>35</v>
      </c>
      <c r="H8" s="9">
        <v>10</v>
      </c>
      <c r="I8" s="9">
        <f t="shared" si="0"/>
        <v>350</v>
      </c>
    </row>
    <row r="9" spans="1:9">
      <c r="A9" s="11">
        <v>44439</v>
      </c>
      <c r="B9" s="10">
        <v>8</v>
      </c>
      <c r="C9" t="s">
        <v>32</v>
      </c>
      <c r="D9" t="s">
        <v>22</v>
      </c>
      <c r="E9" t="s">
        <v>23</v>
      </c>
      <c r="F9" t="s">
        <v>33</v>
      </c>
      <c r="G9">
        <v>40</v>
      </c>
      <c r="H9" s="9">
        <v>15</v>
      </c>
      <c r="I9" s="9">
        <f t="shared" si="0"/>
        <v>600</v>
      </c>
    </row>
    <row r="10" spans="1:9">
      <c r="A10" s="11">
        <v>44469</v>
      </c>
      <c r="B10" s="10">
        <v>9</v>
      </c>
      <c r="C10" t="s">
        <v>34</v>
      </c>
      <c r="D10" t="s">
        <v>13</v>
      </c>
      <c r="E10" t="s">
        <v>10</v>
      </c>
      <c r="F10" t="s">
        <v>35</v>
      </c>
      <c r="G10">
        <v>45</v>
      </c>
      <c r="H10" s="9">
        <v>12.22</v>
      </c>
      <c r="I10" s="9">
        <f t="shared" si="0"/>
        <v>549.9</v>
      </c>
    </row>
    <row r="11" spans="1:9">
      <c r="A11" s="11">
        <v>44500</v>
      </c>
      <c r="B11" s="10">
        <v>10</v>
      </c>
      <c r="C11" t="s">
        <v>36</v>
      </c>
      <c r="D11" t="s">
        <v>9</v>
      </c>
      <c r="E11" t="s">
        <v>14</v>
      </c>
      <c r="F11" t="s">
        <v>37</v>
      </c>
      <c r="G11">
        <v>50</v>
      </c>
      <c r="H11" s="9">
        <v>14</v>
      </c>
      <c r="I11" s="9">
        <f t="shared" si="0"/>
        <v>700</v>
      </c>
    </row>
    <row r="12" spans="1:9">
      <c r="A12" s="11">
        <v>44530</v>
      </c>
      <c r="B12" s="10">
        <v>11</v>
      </c>
      <c r="C12" t="s">
        <v>38</v>
      </c>
      <c r="D12" t="s">
        <v>17</v>
      </c>
      <c r="E12" t="s">
        <v>18</v>
      </c>
      <c r="F12" t="s">
        <v>39</v>
      </c>
      <c r="G12">
        <v>5</v>
      </c>
      <c r="H12" s="9">
        <v>160</v>
      </c>
      <c r="I12" s="9">
        <f t="shared" si="0"/>
        <v>800</v>
      </c>
    </row>
    <row r="13" spans="1:9">
      <c r="A13" s="11">
        <v>44561</v>
      </c>
      <c r="B13" s="10">
        <v>12</v>
      </c>
      <c r="C13" t="s">
        <v>40</v>
      </c>
      <c r="D13" t="s">
        <v>22</v>
      </c>
      <c r="E13" t="s">
        <v>23</v>
      </c>
      <c r="F13" t="s">
        <v>41</v>
      </c>
      <c r="G13">
        <v>20</v>
      </c>
      <c r="H13" s="9">
        <v>45</v>
      </c>
      <c r="I13" s="9">
        <f t="shared" si="0"/>
        <v>900</v>
      </c>
    </row>
    <row r="14" spans="1:9">
      <c r="A14" s="11">
        <v>44592</v>
      </c>
      <c r="B14" s="10">
        <v>13</v>
      </c>
      <c r="C14" t="s">
        <v>42</v>
      </c>
      <c r="D14" t="s">
        <v>13</v>
      </c>
      <c r="E14" t="s">
        <v>10</v>
      </c>
      <c r="F14" t="s">
        <v>43</v>
      </c>
      <c r="G14">
        <v>0</v>
      </c>
      <c r="H14" s="9">
        <v>0</v>
      </c>
      <c r="I14" s="9">
        <f t="shared" si="0"/>
        <v>0</v>
      </c>
    </row>
    <row r="15" spans="1:9">
      <c r="A15" s="11">
        <v>44620</v>
      </c>
      <c r="B15" s="10">
        <v>14</v>
      </c>
      <c r="C15" t="s">
        <v>44</v>
      </c>
      <c r="D15" t="str">
        <f>D14</f>
        <v>East</v>
      </c>
      <c r="E15" t="s">
        <v>14</v>
      </c>
      <c r="F15" t="s">
        <v>45</v>
      </c>
      <c r="G15">
        <v>30</v>
      </c>
      <c r="H15" s="9">
        <v>36.67</v>
      </c>
      <c r="I15" s="9">
        <f t="shared" si="0"/>
        <v>1100.1000000000001</v>
      </c>
    </row>
    <row r="16" spans="1:9">
      <c r="A16" s="11">
        <v>44651</v>
      </c>
      <c r="B16" s="10">
        <v>15</v>
      </c>
      <c r="C16" t="s">
        <v>46</v>
      </c>
      <c r="D16" t="s">
        <v>17</v>
      </c>
      <c r="E16" t="s">
        <v>18</v>
      </c>
      <c r="F16" t="s">
        <v>47</v>
      </c>
      <c r="G16">
        <v>35</v>
      </c>
      <c r="H16" s="9">
        <v>34.29</v>
      </c>
      <c r="I16" s="9">
        <f t="shared" si="0"/>
        <v>1200.1499999999999</v>
      </c>
    </row>
    <row r="17" spans="1:9">
      <c r="A17" s="11">
        <v>44681</v>
      </c>
      <c r="B17" s="10">
        <v>16</v>
      </c>
      <c r="C17" t="s">
        <v>48</v>
      </c>
      <c r="D17" t="str">
        <f>D16</f>
        <v>West</v>
      </c>
      <c r="E17" t="s">
        <v>23</v>
      </c>
      <c r="F17" t="s">
        <v>49</v>
      </c>
      <c r="G17">
        <v>0</v>
      </c>
      <c r="H17" s="9">
        <v>0</v>
      </c>
      <c r="I17" s="9">
        <f t="shared" si="0"/>
        <v>0</v>
      </c>
    </row>
    <row r="18" spans="1:9">
      <c r="A18" s="11">
        <v>44712</v>
      </c>
      <c r="B18" s="10">
        <v>17</v>
      </c>
      <c r="C18" t="s">
        <v>50</v>
      </c>
      <c r="D18" t="s">
        <v>13</v>
      </c>
      <c r="E18" t="s">
        <v>10</v>
      </c>
      <c r="F18" t="s">
        <v>51</v>
      </c>
      <c r="G18">
        <v>40</v>
      </c>
      <c r="H18" s="9">
        <v>35</v>
      </c>
      <c r="I18" s="9">
        <f t="shared" si="0"/>
        <v>1400</v>
      </c>
    </row>
    <row r="19" spans="1:9">
      <c r="A19" s="11">
        <v>44742</v>
      </c>
      <c r="B19" s="10">
        <v>18</v>
      </c>
      <c r="C19" t="s">
        <v>52</v>
      </c>
      <c r="D19" t="s">
        <v>9</v>
      </c>
      <c r="E19" t="s">
        <v>14</v>
      </c>
      <c r="F19" t="s">
        <v>53</v>
      </c>
      <c r="G19">
        <v>45</v>
      </c>
      <c r="H19" s="9">
        <v>33.33</v>
      </c>
      <c r="I19" s="9">
        <f t="shared" si="0"/>
        <v>1499.85</v>
      </c>
    </row>
    <row r="20" spans="1:9">
      <c r="A20" s="11">
        <v>44773</v>
      </c>
      <c r="B20" s="10">
        <v>19</v>
      </c>
      <c r="C20" t="s">
        <v>54</v>
      </c>
      <c r="D20" t="s">
        <v>17</v>
      </c>
      <c r="E20" t="s">
        <v>18</v>
      </c>
      <c r="F20" t="s">
        <v>55</v>
      </c>
      <c r="G20">
        <v>50</v>
      </c>
      <c r="H20" s="9">
        <v>32</v>
      </c>
      <c r="I20" s="9">
        <f t="shared" si="0"/>
        <v>1600</v>
      </c>
    </row>
    <row r="21" spans="1:9">
      <c r="A21" s="11">
        <v>44804</v>
      </c>
      <c r="B21" s="10">
        <v>20</v>
      </c>
      <c r="C21" t="s">
        <v>92</v>
      </c>
      <c r="D21" t="s">
        <v>22</v>
      </c>
      <c r="E21" t="s">
        <v>23</v>
      </c>
      <c r="F21" t="s">
        <v>57</v>
      </c>
      <c r="G21">
        <v>55</v>
      </c>
      <c r="H21" s="9">
        <v>30.91</v>
      </c>
      <c r="I21" s="9">
        <f t="shared" si="0"/>
        <v>1700.05</v>
      </c>
    </row>
    <row r="22" spans="1:9">
      <c r="A22" s="11">
        <v>44834</v>
      </c>
      <c r="B22" s="10">
        <v>21</v>
      </c>
      <c r="C22" t="s">
        <v>58</v>
      </c>
      <c r="D22" t="s">
        <v>13</v>
      </c>
      <c r="E22" t="s">
        <v>10</v>
      </c>
      <c r="F22" t="s">
        <v>59</v>
      </c>
      <c r="G22">
        <v>60</v>
      </c>
      <c r="H22" s="9">
        <v>30</v>
      </c>
      <c r="I22" s="9">
        <f t="shared" si="0"/>
        <v>1800</v>
      </c>
    </row>
    <row r="23" spans="1:9">
      <c r="A23" s="11">
        <v>44865</v>
      </c>
      <c r="B23" s="10">
        <v>22</v>
      </c>
      <c r="C23" t="s">
        <v>60</v>
      </c>
      <c r="D23" t="s">
        <v>9</v>
      </c>
      <c r="E23" t="s">
        <v>14</v>
      </c>
      <c r="F23" t="s">
        <v>61</v>
      </c>
      <c r="G23">
        <v>0</v>
      </c>
      <c r="H23" s="9">
        <v>0</v>
      </c>
      <c r="I23" s="9">
        <f t="shared" si="0"/>
        <v>0</v>
      </c>
    </row>
    <row r="24" spans="1:9">
      <c r="A24" s="11">
        <v>44895</v>
      </c>
      <c r="B24" s="10">
        <v>23</v>
      </c>
      <c r="C24" t="s">
        <v>62</v>
      </c>
      <c r="D24" t="s">
        <v>17</v>
      </c>
      <c r="E24" t="s">
        <v>18</v>
      </c>
      <c r="F24" t="s">
        <v>63</v>
      </c>
      <c r="G24">
        <v>65</v>
      </c>
      <c r="H24" s="9">
        <v>30.77</v>
      </c>
      <c r="I24" s="9">
        <f t="shared" si="0"/>
        <v>2000.05</v>
      </c>
    </row>
    <row r="25" spans="1:9">
      <c r="A25" s="11">
        <v>44926</v>
      </c>
      <c r="B25" s="10">
        <v>24</v>
      </c>
      <c r="C25" t="s">
        <v>93</v>
      </c>
      <c r="D25" t="s">
        <v>22</v>
      </c>
      <c r="E25" t="s">
        <v>23</v>
      </c>
      <c r="F25" t="s">
        <v>65</v>
      </c>
      <c r="G25">
        <v>70</v>
      </c>
      <c r="H25" s="9">
        <v>30</v>
      </c>
      <c r="I25" s="9">
        <f t="shared" si="0"/>
        <v>2100</v>
      </c>
    </row>
    <row r="26" spans="1:9">
      <c r="A26" s="11">
        <v>44957</v>
      </c>
      <c r="B26" s="10">
        <v>25</v>
      </c>
      <c r="C26" t="s">
        <v>66</v>
      </c>
      <c r="D26" t="s">
        <v>94</v>
      </c>
      <c r="E26" t="s">
        <v>68</v>
      </c>
      <c r="F26" t="s">
        <v>69</v>
      </c>
      <c r="G26">
        <v>75</v>
      </c>
      <c r="H26" s="9">
        <v>29.33</v>
      </c>
      <c r="I26" s="9">
        <f t="shared" si="0"/>
        <v>2199.75</v>
      </c>
    </row>
    <row r="27" spans="1:9">
      <c r="A27" s="11">
        <v>44985</v>
      </c>
      <c r="B27" s="10">
        <v>26</v>
      </c>
      <c r="C27" t="s">
        <v>70</v>
      </c>
      <c r="D27" t="s">
        <v>94</v>
      </c>
      <c r="E27" t="s">
        <v>71</v>
      </c>
      <c r="F27" t="s">
        <v>95</v>
      </c>
      <c r="G27">
        <v>80</v>
      </c>
      <c r="H27" s="9">
        <v>28.75</v>
      </c>
      <c r="I27" s="9">
        <f t="shared" si="0"/>
        <v>2300</v>
      </c>
    </row>
    <row r="28" spans="1:9">
      <c r="A28" s="11">
        <v>45016</v>
      </c>
      <c r="B28" s="10">
        <v>27</v>
      </c>
      <c r="C28" t="s">
        <v>42</v>
      </c>
      <c r="D28" t="s">
        <v>13</v>
      </c>
      <c r="E28" t="s">
        <v>73</v>
      </c>
      <c r="F28" t="s">
        <v>74</v>
      </c>
      <c r="G28">
        <v>0</v>
      </c>
      <c r="H28" s="9">
        <v>0</v>
      </c>
      <c r="I28" s="9">
        <f t="shared" si="0"/>
        <v>0</v>
      </c>
    </row>
    <row r="29" spans="1:9">
      <c r="A29" s="11">
        <v>45046</v>
      </c>
      <c r="B29" s="10">
        <v>28</v>
      </c>
      <c r="C29" t="s">
        <v>40</v>
      </c>
      <c r="D29" t="s">
        <v>22</v>
      </c>
      <c r="E29" t="s">
        <v>75</v>
      </c>
      <c r="F29" t="s">
        <v>76</v>
      </c>
      <c r="G29">
        <v>85</v>
      </c>
      <c r="H29" s="9">
        <v>29.41</v>
      </c>
      <c r="I29" s="9">
        <f t="shared" si="0"/>
        <v>2499.85</v>
      </c>
    </row>
    <row r="30" spans="1:9">
      <c r="A30" s="1" t="s">
        <v>97</v>
      </c>
      <c r="G30">
        <f>SUBTOTAL(109,[Quantity])</f>
        <v>965</v>
      </c>
      <c r="I30" s="9">
        <f>SUBTOTAL(109,[Sales])</f>
        <v>26399.8</v>
      </c>
    </row>
  </sheetData>
  <conditionalFormatting sqref="B2:B29">
    <cfRule type="duplicateValues" dxfId="1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Raw Data</vt:lpstr>
      <vt:lpstr>Cleaned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2026-09-21T03:43:22Z</dcterms:created>
  <dcterms:modified xsi:type="dcterms:W3CDTF">2026-09-21T10:57:38Z</dcterms:modified>
</cp:coreProperties>
</file>